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5" windowWidth="26775" windowHeight="10995"/>
  </bookViews>
  <sheets>
    <sheet name="555" sheetId="1" r:id="rId1"/>
  </sheets>
  <calcPr calcId="124519"/>
</workbook>
</file>

<file path=xl/calcChain.xml><?xml version="1.0" encoding="utf-8"?>
<calcChain xmlns="http://schemas.openxmlformats.org/spreadsheetml/2006/main">
  <c r="F8" i="1"/>
  <c r="E8"/>
  <c r="D8"/>
  <c r="F3"/>
  <c r="E3"/>
  <c r="D3"/>
  <c r="E6"/>
  <c r="E2"/>
  <c r="E9"/>
  <c r="E10"/>
  <c r="E4"/>
  <c r="E5"/>
  <c r="D6"/>
  <c r="D2"/>
  <c r="F2" s="1"/>
  <c r="D7"/>
  <c r="D9"/>
  <c r="F9" s="1"/>
  <c r="D10"/>
  <c r="F10" s="1"/>
  <c r="D4"/>
  <c r="F4" s="1"/>
  <c r="D5"/>
  <c r="F5" s="1"/>
  <c r="C7"/>
  <c r="E7" l="1"/>
  <c r="H11"/>
  <c r="F6"/>
  <c r="F7" l="1"/>
</calcChain>
</file>

<file path=xl/sharedStrings.xml><?xml version="1.0" encoding="utf-8"?>
<sst xmlns="http://schemas.openxmlformats.org/spreadsheetml/2006/main" count="43" uniqueCount="36">
  <si>
    <t>Description</t>
  </si>
  <si>
    <t>Capacitor Electrolitico 1000uF; 16V; 10mm x 16mm</t>
  </si>
  <si>
    <t>C3</t>
  </si>
  <si>
    <t>JP1</t>
  </si>
  <si>
    <t>K1</t>
  </si>
  <si>
    <t>R1</t>
  </si>
  <si>
    <t>1N4148 SMD</t>
  </si>
  <si>
    <t>Cgrid Header 9x1</t>
  </si>
  <si>
    <t>N x100</t>
  </si>
  <si>
    <t>Costo Unitario [US$]</t>
  </si>
  <si>
    <t>N</t>
  </si>
  <si>
    <t>ARLEX</t>
  </si>
  <si>
    <t>1000X16GR</t>
  </si>
  <si>
    <t>DL4148</t>
  </si>
  <si>
    <t>TP1X40</t>
  </si>
  <si>
    <t>N x40</t>
  </si>
  <si>
    <t>N x200</t>
  </si>
  <si>
    <t>VR085-10K</t>
  </si>
  <si>
    <t>Total Materiales 1 unidad:</t>
  </si>
  <si>
    <t>Costo * N [US$]</t>
  </si>
  <si>
    <t>LAYER</t>
  </si>
  <si>
    <t>Bottom</t>
  </si>
  <si>
    <t>Top</t>
  </si>
  <si>
    <t>Preset 1 vuelta 10Kohm / Ajuste Vertical / Cuerpo Desnudo</t>
  </si>
  <si>
    <t>Resistencia 1206; 1Kohm</t>
  </si>
  <si>
    <t>PR1206-1K</t>
  </si>
  <si>
    <t>Resistencia 1206; 330Kohm</t>
  </si>
  <si>
    <t>MMBTA13</t>
  </si>
  <si>
    <t>PR1206-330K</t>
  </si>
  <si>
    <t>Relay 6V; 1 Inversor</t>
  </si>
  <si>
    <t>Zener 5.6V</t>
  </si>
  <si>
    <t>D1, D2</t>
  </si>
  <si>
    <t>R5, R8</t>
  </si>
  <si>
    <t>R7</t>
  </si>
  <si>
    <t>Q1</t>
  </si>
  <si>
    <t>D3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</si>
</sst>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color rgb="FF000000"/>
      <name val="MS Sans Serif"/>
      <family val="2"/>
    </font>
    <font>
      <sz val="12"/>
      <color theme="1"/>
      <name val="Calibri"/>
      <family val="2"/>
      <scheme val="minor"/>
    </font>
    <font>
      <sz val="12"/>
      <color theme="1"/>
      <name val="MS Sans Serif"/>
      <family val="2"/>
    </font>
    <font>
      <b/>
      <sz val="12"/>
      <color rgb="FF9C6500"/>
      <name val="MS Sans Serif"/>
      <family val="2"/>
    </font>
    <font>
      <b/>
      <sz val="12"/>
      <color rgb="FF000000"/>
      <name val="MS Sans Serif"/>
      <family val="2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0" fontId="3" fillId="0" borderId="0" xfId="0" applyFont="1" applyAlignment="1">
      <alignment vertical="center" wrapText="1"/>
    </xf>
    <xf numFmtId="0" fontId="5" fillId="2" borderId="8" xfId="1" quotePrefix="1" applyFont="1" applyBorder="1" applyAlignment="1">
      <alignment horizontal="center" vertical="center" wrapText="1"/>
    </xf>
    <xf numFmtId="0" fontId="5" fillId="2" borderId="9" xfId="1" quotePrefix="1" applyFont="1" applyBorder="1" applyAlignment="1">
      <alignment horizontal="center" vertical="center" wrapText="1"/>
    </xf>
    <xf numFmtId="0" fontId="5" fillId="2" borderId="9" xfId="1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2" fillId="0" borderId="0" xfId="0" quotePrefix="1" applyFont="1" applyBorder="1" applyAlignment="1">
      <alignment horizontal="center" vertical="center" wrapText="1"/>
    </xf>
    <xf numFmtId="0" fontId="5" fillId="2" borderId="10" xfId="1" quotePrefix="1" applyFont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1" xfId="0" quotePrefix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4" borderId="4" xfId="0" quotePrefix="1" applyFont="1" applyFill="1" applyBorder="1" applyAlignment="1">
      <alignment horizontal="center" vertical="center" wrapText="1"/>
    </xf>
    <xf numFmtId="0" fontId="2" fillId="4" borderId="3" xfId="0" quotePrefix="1" applyFont="1" applyFill="1" applyBorder="1" applyAlignment="1">
      <alignment horizontal="center" vertical="center" wrapText="1"/>
    </xf>
    <xf numFmtId="0" fontId="2" fillId="5" borderId="3" xfId="0" quotePrefix="1" applyFont="1" applyFill="1" applyBorder="1" applyAlignment="1">
      <alignment horizontal="center" vertical="center" wrapText="1"/>
    </xf>
    <xf numFmtId="0" fontId="2" fillId="5" borderId="1" xfId="0" quotePrefix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5" borderId="4" xfId="0" quotePrefix="1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2" fontId="6" fillId="5" borderId="1" xfId="0" applyNumberFormat="1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quotePrefix="1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2" fillId="5" borderId="7" xfId="0" quotePrefix="1" applyFont="1" applyFill="1" applyBorder="1" applyAlignment="1">
      <alignment horizontal="center" vertical="center" wrapText="1"/>
    </xf>
    <xf numFmtId="0" fontId="6" fillId="3" borderId="2" xfId="0" quotePrefix="1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right" vertical="center" wrapText="1"/>
    </xf>
    <xf numFmtId="0" fontId="4" fillId="0" borderId="12" xfId="0" applyFont="1" applyBorder="1" applyAlignment="1">
      <alignment horizontal="right" vertical="center" wrapText="1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>
      <selection activeCell="G5" sqref="G5"/>
    </sheetView>
  </sheetViews>
  <sheetFormatPr defaultRowHeight="15.75"/>
  <cols>
    <col min="1" max="1" width="27" style="1" customWidth="1"/>
    <col min="2" max="2" width="14.28515625" style="1" bestFit="1" customWidth="1"/>
    <col min="3" max="3" width="6.5703125" style="1" bestFit="1" customWidth="1"/>
    <col min="4" max="4" width="8" style="1" bestFit="1" customWidth="1"/>
    <col min="5" max="6" width="7" style="1" bestFit="1" customWidth="1"/>
    <col min="7" max="7" width="10.5703125" style="1" bestFit="1" customWidth="1"/>
    <col min="8" max="8" width="9.5703125" style="1" bestFit="1" customWidth="1"/>
    <col min="9" max="9" width="14.42578125" style="1" customWidth="1"/>
    <col min="10" max="10" width="10" style="1" bestFit="1" customWidth="1"/>
    <col min="11" max="16384" width="9.140625" style="1"/>
  </cols>
  <sheetData>
    <row r="1" spans="1:10" ht="48" thickBot="1">
      <c r="A1" s="2" t="s">
        <v>0</v>
      </c>
      <c r="B1" s="3"/>
      <c r="C1" s="4" t="s">
        <v>10</v>
      </c>
      <c r="D1" s="4" t="s">
        <v>15</v>
      </c>
      <c r="E1" s="4" t="s">
        <v>8</v>
      </c>
      <c r="F1" s="4" t="s">
        <v>16</v>
      </c>
      <c r="G1" s="3" t="s">
        <v>9</v>
      </c>
      <c r="H1" s="3" t="s">
        <v>19</v>
      </c>
      <c r="I1" s="7" t="s">
        <v>11</v>
      </c>
      <c r="J1" s="7" t="s">
        <v>20</v>
      </c>
    </row>
    <row r="2" spans="1:10">
      <c r="A2" s="8" t="s">
        <v>6</v>
      </c>
      <c r="B2" s="9" t="s">
        <v>31</v>
      </c>
      <c r="C2" s="10">
        <v>2</v>
      </c>
      <c r="D2" s="11">
        <f t="shared" ref="D2:D10" si="0">C2*40</f>
        <v>80</v>
      </c>
      <c r="E2" s="11">
        <f t="shared" ref="E2:E10" si="1">100*C2</f>
        <v>200</v>
      </c>
      <c r="F2" s="11">
        <f t="shared" ref="F2:F10" si="2">D2*5</f>
        <v>400</v>
      </c>
      <c r="G2" s="9">
        <v>2.01E-2</v>
      </c>
      <c r="H2" s="9"/>
      <c r="I2" s="12" t="s">
        <v>13</v>
      </c>
      <c r="J2" s="12" t="s">
        <v>21</v>
      </c>
    </row>
    <row r="3" spans="1:10" ht="31.5">
      <c r="A3" s="13" t="s">
        <v>24</v>
      </c>
      <c r="B3" s="9" t="s">
        <v>32</v>
      </c>
      <c r="C3" s="10">
        <v>2</v>
      </c>
      <c r="D3" s="11">
        <f t="shared" ref="D3" si="3">C3*40</f>
        <v>80</v>
      </c>
      <c r="E3" s="11">
        <f t="shared" ref="E3" si="4">100*C3</f>
        <v>200</v>
      </c>
      <c r="F3" s="11">
        <f t="shared" ref="F3" si="5">D3*5</f>
        <v>400</v>
      </c>
      <c r="G3" s="9">
        <v>6.7799999999999996E-3</v>
      </c>
      <c r="H3" s="9"/>
      <c r="I3" s="12" t="s">
        <v>25</v>
      </c>
      <c r="J3" s="12" t="s">
        <v>21</v>
      </c>
    </row>
    <row r="4" spans="1:10" ht="31.5">
      <c r="A4" s="13" t="s">
        <v>26</v>
      </c>
      <c r="B4" s="9" t="s">
        <v>33</v>
      </c>
      <c r="C4" s="10">
        <v>1</v>
      </c>
      <c r="D4" s="11">
        <f t="shared" si="0"/>
        <v>40</v>
      </c>
      <c r="E4" s="11">
        <f t="shared" si="1"/>
        <v>100</v>
      </c>
      <c r="F4" s="11">
        <f t="shared" si="2"/>
        <v>200</v>
      </c>
      <c r="G4" s="9">
        <v>6.7799999999999996E-3</v>
      </c>
      <c r="H4" s="9"/>
      <c r="I4" s="12" t="s">
        <v>28</v>
      </c>
      <c r="J4" s="12" t="s">
        <v>21</v>
      </c>
    </row>
    <row r="5" spans="1:10">
      <c r="A5" s="8" t="s">
        <v>27</v>
      </c>
      <c r="B5" s="9" t="s">
        <v>34</v>
      </c>
      <c r="C5" s="10">
        <v>1</v>
      </c>
      <c r="D5" s="11">
        <f t="shared" si="0"/>
        <v>40</v>
      </c>
      <c r="E5" s="11">
        <f t="shared" si="1"/>
        <v>100</v>
      </c>
      <c r="F5" s="11">
        <f t="shared" si="2"/>
        <v>200</v>
      </c>
      <c r="G5" s="9">
        <v>0.1278</v>
      </c>
      <c r="H5" s="9"/>
      <c r="I5" s="12"/>
      <c r="J5" s="12" t="s">
        <v>21</v>
      </c>
    </row>
    <row r="6" spans="1:10" ht="47.25">
      <c r="A6" s="14" t="s">
        <v>1</v>
      </c>
      <c r="B6" s="15" t="s">
        <v>2</v>
      </c>
      <c r="C6" s="16">
        <v>1</v>
      </c>
      <c r="D6" s="17">
        <f t="shared" si="0"/>
        <v>40</v>
      </c>
      <c r="E6" s="17">
        <f t="shared" si="1"/>
        <v>100</v>
      </c>
      <c r="F6" s="17">
        <f t="shared" si="2"/>
        <v>200</v>
      </c>
      <c r="G6" s="15">
        <v>0.11094</v>
      </c>
      <c r="H6" s="15"/>
      <c r="I6" s="18" t="s">
        <v>12</v>
      </c>
      <c r="J6" s="18" t="s">
        <v>22</v>
      </c>
    </row>
    <row r="7" spans="1:10">
      <c r="A7" s="19" t="s">
        <v>7</v>
      </c>
      <c r="B7" s="15" t="s">
        <v>3</v>
      </c>
      <c r="C7" s="20">
        <f>1/4</f>
        <v>0.25</v>
      </c>
      <c r="D7" s="17">
        <f t="shared" si="0"/>
        <v>10</v>
      </c>
      <c r="E7" s="17">
        <f t="shared" si="1"/>
        <v>25</v>
      </c>
      <c r="F7" s="17">
        <f t="shared" si="2"/>
        <v>50</v>
      </c>
      <c r="G7" s="15">
        <v>0.1734</v>
      </c>
      <c r="H7" s="15"/>
      <c r="I7" s="18" t="s">
        <v>14</v>
      </c>
      <c r="J7" s="18" t="s">
        <v>22</v>
      </c>
    </row>
    <row r="8" spans="1:10">
      <c r="A8" s="14" t="s">
        <v>29</v>
      </c>
      <c r="B8" s="15" t="s">
        <v>4</v>
      </c>
      <c r="C8" s="16">
        <v>1</v>
      </c>
      <c r="D8" s="17">
        <f t="shared" ref="D8" si="6">C8*40</f>
        <v>40</v>
      </c>
      <c r="E8" s="17">
        <f t="shared" ref="E8" si="7">100*C8</f>
        <v>100</v>
      </c>
      <c r="F8" s="17">
        <f t="shared" ref="F8" si="8">D8*5</f>
        <v>200</v>
      </c>
      <c r="G8" s="15">
        <v>0.61739999999999995</v>
      </c>
      <c r="H8" s="15"/>
      <c r="I8" s="18"/>
      <c r="J8" s="18" t="s">
        <v>22</v>
      </c>
    </row>
    <row r="9" spans="1:10">
      <c r="A9" s="19" t="s">
        <v>30</v>
      </c>
      <c r="B9" s="15" t="s">
        <v>35</v>
      </c>
      <c r="C9" s="16">
        <v>1</v>
      </c>
      <c r="D9" s="17">
        <f t="shared" si="0"/>
        <v>40</v>
      </c>
      <c r="E9" s="17">
        <f t="shared" si="1"/>
        <v>100</v>
      </c>
      <c r="F9" s="17">
        <f t="shared" si="2"/>
        <v>200</v>
      </c>
      <c r="G9" s="15">
        <v>0.61739999999999995</v>
      </c>
      <c r="H9" s="15"/>
      <c r="I9" s="18"/>
      <c r="J9" s="18" t="s">
        <v>22</v>
      </c>
    </row>
    <row r="10" spans="1:10" ht="48" thickBot="1">
      <c r="A10" s="21" t="s">
        <v>23</v>
      </c>
      <c r="B10" s="22" t="s">
        <v>5</v>
      </c>
      <c r="C10" s="23">
        <v>1</v>
      </c>
      <c r="D10" s="24">
        <f t="shared" si="0"/>
        <v>40</v>
      </c>
      <c r="E10" s="24">
        <f t="shared" si="1"/>
        <v>100</v>
      </c>
      <c r="F10" s="24">
        <f t="shared" si="2"/>
        <v>200</v>
      </c>
      <c r="G10" s="22">
        <v>0.1182</v>
      </c>
      <c r="H10" s="22"/>
      <c r="I10" s="25" t="s">
        <v>17</v>
      </c>
      <c r="J10" s="25" t="s">
        <v>22</v>
      </c>
    </row>
    <row r="11" spans="1:10" ht="16.5" thickBot="1">
      <c r="A11" s="27" t="s">
        <v>18</v>
      </c>
      <c r="B11" s="27"/>
      <c r="C11" s="27"/>
      <c r="D11" s="27"/>
      <c r="E11" s="27"/>
      <c r="F11" s="27"/>
      <c r="G11" s="28"/>
      <c r="H11" s="26">
        <f>SUM(H2:H10)</f>
        <v>0</v>
      </c>
      <c r="I11" s="6"/>
      <c r="J11" s="5"/>
    </row>
    <row r="12" spans="1:10">
      <c r="A12" s="5"/>
      <c r="B12" s="5"/>
      <c r="C12" s="5"/>
      <c r="D12" s="5"/>
      <c r="E12" s="5"/>
      <c r="F12" s="5"/>
      <c r="G12" s="5"/>
      <c r="H12" s="5"/>
      <c r="I12" s="5"/>
      <c r="J12" s="5"/>
    </row>
  </sheetData>
  <sortState ref="A2:J9">
    <sortCondition ref="J2:J9"/>
  </sortState>
  <mergeCells count="1">
    <mergeCell ref="A11:G1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555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</dc:creator>
  <cp:lastModifiedBy>Fede</cp:lastModifiedBy>
  <dcterms:created xsi:type="dcterms:W3CDTF">2019-04-07T00:08:30Z</dcterms:created>
  <dcterms:modified xsi:type="dcterms:W3CDTF">2019-05-21T15:07:47Z</dcterms:modified>
</cp:coreProperties>
</file>